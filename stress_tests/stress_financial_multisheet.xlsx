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Balance Sheet 2026" sheetId="3" state="visible" r:id="rId3"/>
    <sheet xmlns:r="http://schemas.openxmlformats.org/officeDocument/2006/relationships" name="CashFlow M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3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Grace</author>
  </authors>
  <commentList>
    <comment ref="B4" authorId="0" shapeId="0">
      <text>
        <t>Source: fixture stress test</t>
      </text>
    </comment>
    <comment ref="B5" authorId="0" shapeId="0">
      <text>
        <t>Source: fixture stress test</t>
      </text>
    </comment>
    <comment ref="B6" authorId="0" shapeId="0">
      <text>
        <t>Source: fixture stress test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GIẢ ĐỊNH THUẾ &amp; RỦI RO</t>
        </is>
      </c>
    </row>
    <row r="3">
      <c r="A3" s="2" t="inlineStr">
        <is>
          <t>Chỉ số</t>
        </is>
      </c>
      <c r="B3" s="2" t="inlineStr">
        <is>
          <t>Giá trị</t>
        </is>
      </c>
      <c r="C3" s="2" t="inlineStr">
        <is>
          <t>Nguồn</t>
        </is>
      </c>
    </row>
    <row r="4">
      <c r="A4" t="inlineStr">
        <is>
          <t>Thuế suất Thuế TNDN</t>
        </is>
      </c>
      <c r="B4" s="3" t="n">
        <v>0.2</v>
      </c>
      <c r="C4" t="inlineStr">
        <is>
          <t>Luật thuế TNDN hiện hành</t>
        </is>
      </c>
    </row>
    <row r="5">
      <c r="A5" t="inlineStr">
        <is>
          <t>Hạn mức chi phí Tiếp khách hợp lệ (% Doanh thu)</t>
        </is>
      </c>
      <c r="B5" s="3" t="n">
        <v>0.15</v>
      </c>
      <c r="C5" t="inlineStr">
        <is>
          <t>Quy chế nội bộ + luật thuế</t>
        </is>
      </c>
    </row>
    <row r="6">
      <c r="A6" t="inlineStr">
        <is>
          <t>Mức phạt chậm nộp thuế mỗi ngày</t>
        </is>
      </c>
      <c r="B6" s="3" t="n">
        <v>0.0003</v>
      </c>
      <c r="C6" t="inlineStr">
        <is>
          <t>Luật quản lý thuế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BÁO CÁO KẾT QUẢ HOẠT ĐỘNG KINH DOANH — NEOFIN PREMIUM</t>
        </is>
      </c>
    </row>
    <row r="4">
      <c r="A4" s="2" t="inlineStr">
        <is>
          <t>Chỉ tiêu kinh doanh (VND)</t>
        </is>
      </c>
      <c r="B4" s="2" t="inlineStr">
        <is>
          <t>Quý I/2026 (Thực tế)</t>
        </is>
      </c>
      <c r="C4" s="2" t="inlineStr">
        <is>
          <t>Quý II/2026 (Nhập liệu)</t>
        </is>
      </c>
      <c r="D4" s="2" t="inlineStr">
        <is>
          <t>Ghi chú</t>
        </is>
      </c>
    </row>
    <row r="5">
      <c r="A5" t="inlineStr">
        <is>
          <t>Doanh thu bán hàng và cung cấp dịch vụ</t>
        </is>
      </c>
      <c r="B5" s="4" t="n">
        <v>1200000000</v>
      </c>
      <c r="C5" s="4" t="n">
        <v>1580000000</v>
      </c>
      <c r="D5" t="inlineStr">
        <is>
          <t>Mở rộng kênh B2B</t>
        </is>
      </c>
    </row>
    <row r="6">
      <c r="A6" t="inlineStr">
        <is>
          <t>Giá vốn hàng bán</t>
        </is>
      </c>
      <c r="B6" s="4" t="n">
        <v>420000000</v>
      </c>
      <c r="C6" s="4" t="n">
        <v>540000000</v>
      </c>
      <c r="D6" t="inlineStr">
        <is>
          <t>Chi phí cloud + vendor</t>
        </is>
      </c>
    </row>
    <row r="7">
      <c r="A7" t="inlineStr">
        <is>
          <t>Lợi nhuận gộp</t>
        </is>
      </c>
      <c r="B7" s="5">
        <f>B5-B6</f>
        <v/>
      </c>
      <c r="C7" s="5">
        <f>C5-C6</f>
        <v/>
      </c>
      <c r="D7" t="inlineStr">
        <is>
          <t>-</t>
        </is>
      </c>
    </row>
    <row r="8">
      <c r="A8" t="inlineStr">
        <is>
          <t>Chi phí bán hàng (Marketing, vận chuyển)</t>
        </is>
      </c>
      <c r="B8" s="4" t="n">
        <v>180000000</v>
      </c>
      <c r="C8" s="4" t="n">
        <v>260000000</v>
      </c>
      <c r="D8" t="inlineStr">
        <is>
          <t>Chiến dịch AppSumo thử nghiệm</t>
        </is>
      </c>
    </row>
    <row r="9">
      <c r="A9" t="inlineStr">
        <is>
          <t>Chi phí lương nhân viên</t>
        </is>
      </c>
      <c r="B9" s="4" t="n">
        <v>260000000</v>
      </c>
      <c r="C9" s="4" t="n">
        <v>330000000</v>
      </c>
      <c r="D9" t="inlineStr">
        <is>
          <t>Tuyển thêm đội growth &amp; AI</t>
        </is>
      </c>
    </row>
    <row r="10">
      <c r="A10" t="inlineStr">
        <is>
          <t>Chi phí tiếp khách (Hợp lệ có hóa đơn)</t>
        </is>
      </c>
      <c r="B10" s="4" t="n">
        <v>45000000</v>
      </c>
      <c r="C10" s="4" t="n">
        <v>58000000</v>
      </c>
      <c r="D10" t="inlineStr">
        <is>
          <t>Tiếp đối tác</t>
        </is>
      </c>
    </row>
    <row r="11">
      <c r="A11" t="inlineStr">
        <is>
          <t>Chi phí tiếp khách (KHÔNG có hóa đơn đỏ)</t>
        </is>
      </c>
      <c r="B11" s="4" t="n">
        <v>12000000</v>
      </c>
      <c r="C11" s="4" t="n">
        <v>68000000</v>
      </c>
      <c r="D11" t="inlineStr">
        <is>
          <t>Dinner founder circle, thiếu chứng từ</t>
        </is>
      </c>
    </row>
    <row r="12">
      <c r="A12" t="inlineStr">
        <is>
          <t>Chi phí thuê văn phòng và dịch vụ khác</t>
        </is>
      </c>
      <c r="B12" s="4" t="n">
        <v>90000000</v>
      </c>
      <c r="C12" s="4" t="n">
        <v>110000000</v>
      </c>
      <c r="D12" t="inlineStr">
        <is>
          <t>Office + SaaS</t>
        </is>
      </c>
    </row>
    <row r="13">
      <c r="A13" t="inlineStr">
        <is>
          <t>Tổng chi phí quản lý &amp; vận hành</t>
        </is>
      </c>
      <c r="B13" s="5">
        <f>SUM(B8:B12)</f>
        <v/>
      </c>
      <c r="C13" s="5">
        <f>SUM(C8:C12)</f>
        <v/>
      </c>
      <c r="D13" t="inlineStr">
        <is>
          <t>-</t>
        </is>
      </c>
    </row>
    <row r="14">
      <c r="A14" t="inlineStr">
        <is>
          <t>Lợi nhuận kế toán trước thuế</t>
        </is>
      </c>
      <c r="B14" s="5">
        <f>B7-B13</f>
        <v/>
      </c>
      <c r="C14" s="5">
        <f>C7-C13</f>
        <v/>
      </c>
      <c r="D14" t="inlineStr">
        <is>
          <t>-</t>
        </is>
      </c>
    </row>
    <row r="15">
      <c r="A15" t="inlineStr">
        <is>
          <t>Thuế TNDN phải nộp</t>
        </is>
      </c>
      <c r="B15" s="5">
        <f>B14*Assumptions!$B$4</f>
        <v/>
      </c>
      <c r="C15" s="5">
        <f>C14*Assumptions!$B$4</f>
        <v/>
      </c>
      <c r="D15" t="inlineStr">
        <is>
          <t>-</t>
        </is>
      </c>
    </row>
    <row r="16">
      <c r="A16" t="inlineStr">
        <is>
          <t>Lợi nhuận ròng sau thuế</t>
        </is>
      </c>
      <c r="B16" s="5">
        <f>B14-B15</f>
        <v/>
      </c>
      <c r="C16" s="5">
        <f>C14-C15</f>
        <v/>
      </c>
      <c r="D16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CÂN ĐỐI KẾ TOÁN TÓM TẮT</t>
        </is>
      </c>
    </row>
    <row r="3">
      <c r="A3" s="2" t="inlineStr">
        <is>
          <t>Mã</t>
        </is>
      </c>
      <c r="B3" s="2" t="inlineStr">
        <is>
          <t>Chỉ tiêu</t>
        </is>
      </c>
      <c r="C3" s="2" t="inlineStr">
        <is>
          <t>31/03/2026</t>
        </is>
      </c>
      <c r="D3" s="2" t="inlineStr">
        <is>
          <t>30/06/2026</t>
        </is>
      </c>
      <c r="E3" s="2" t="inlineStr">
        <is>
          <t>Ghi chú</t>
        </is>
      </c>
    </row>
    <row r="4">
      <c r="A4" t="inlineStr">
        <is>
          <t>100</t>
        </is>
      </c>
      <c r="B4" t="inlineStr">
        <is>
          <t>Tiền và tương đương tiền</t>
        </is>
      </c>
      <c r="C4" t="n">
        <v>260000000</v>
      </c>
      <c r="D4" t="n">
        <v>310000000</v>
      </c>
      <c r="E4" t="inlineStr"/>
    </row>
    <row r="5">
      <c r="A5" t="inlineStr">
        <is>
          <t>110</t>
        </is>
      </c>
      <c r="B5" t="inlineStr">
        <is>
          <t>Các khoản phải thu khách hàng</t>
        </is>
      </c>
      <c r="C5" t="n">
        <v>145000000</v>
      </c>
      <c r="D5" t="n">
        <v>182000000</v>
      </c>
      <c r="E5" t="inlineStr"/>
    </row>
    <row r="6">
      <c r="A6" t="inlineStr">
        <is>
          <t>120</t>
        </is>
      </c>
      <c r="B6" t="inlineStr">
        <is>
          <t>Hàng tồn kho</t>
        </is>
      </c>
      <c r="C6" t="n">
        <v>87000000</v>
      </c>
      <c r="D6" t="n">
        <v>93000000</v>
      </c>
      <c r="E6" t="inlineStr"/>
    </row>
    <row r="7">
      <c r="A7" t="inlineStr">
        <is>
          <t>300</t>
        </is>
      </c>
      <c r="B7" t="inlineStr">
        <is>
          <t>Phải trả người bán</t>
        </is>
      </c>
      <c r="C7" t="n">
        <v>76000000</v>
      </c>
      <c r="D7" t="n">
        <v>81000000</v>
      </c>
      <c r="E7" t="inlineStr"/>
    </row>
    <row r="8">
      <c r="A8" t="inlineStr">
        <is>
          <t>400</t>
        </is>
      </c>
      <c r="B8" t="inlineStr">
        <is>
          <t>Vốn chủ sở hữu</t>
        </is>
      </c>
      <c r="C8" t="n">
        <v>416000000</v>
      </c>
      <c r="D8" t="n">
        <v>504000000</v>
      </c>
      <c r="E8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BÁO CÁO LƯU CHUYỂN TIỀN TỆ — GIÁN TIẾP</t>
        </is>
      </c>
    </row>
    <row r="3">
      <c r="A3" s="2" t="inlineStr">
        <is>
          <t>Chỉ tiêu</t>
        </is>
      </c>
      <c r="B3" s="2" t="inlineStr">
        <is>
          <t>Q1</t>
        </is>
      </c>
      <c r="C3" s="2" t="inlineStr">
        <is>
          <t>Q2</t>
        </is>
      </c>
    </row>
    <row r="4">
      <c r="A4" t="inlineStr">
        <is>
          <t>Lưu chuyển tiền từ HĐKD</t>
        </is>
      </c>
      <c r="B4" t="n">
        <v>180000000</v>
      </c>
      <c r="C4" t="n">
        <v>240000000</v>
      </c>
    </row>
    <row r="5">
      <c r="A5" t="inlineStr">
        <is>
          <t>Lưu chuyển tiền từ HĐĐT</t>
        </is>
      </c>
      <c r="B5" t="n">
        <v>-65000000</v>
      </c>
      <c r="C5" t="n">
        <v>-82000000</v>
      </c>
    </row>
    <row r="6">
      <c r="A6" t="inlineStr">
        <is>
          <t>Lưu chuyển tiền từ HĐTC</t>
        </is>
      </c>
      <c r="B6" t="n">
        <v>30000000</v>
      </c>
      <c r="C6" t="n">
        <v>40000000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2026-06-18T09:57:10Z</dcterms:created>
  <dcterms:modified xmlns:dcterms="http://purl.org/dc/terms/" xmlns:xsi="http://www.w3.org/2001/XMLSchema-instance" xsi:type="dcterms:W3CDTF">2026-06-18T09:57:10Z</dcterms:modified>
</cp:coreProperties>
</file>