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lương T07-2026" sheetId="1" state="visible" r:id="rId1"/>
    <sheet xmlns:r="http://schemas.openxmlformats.org/officeDocument/2006/relationships" name="Tổng hợp thuế-BH" sheetId="2" state="visible" r:id="rId2"/>
    <sheet xmlns:r="http://schemas.openxmlformats.org/officeDocument/2006/relationships" name="Thông tin nhân sự mở rộ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0000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LƯƠNG THÁNG 07/2026 — FINAI HOLDINGS</t>
        </is>
      </c>
    </row>
    <row r="2">
      <c r="A2" t="inlineStr">
        <is>
          <t>Báo cáo nội bộ | dữ liệu gồm lương, thưởng, bảo hiểm, thuế TNCN</t>
        </is>
      </c>
    </row>
    <row r="5">
      <c r="A5" s="2" t="inlineStr">
        <is>
          <t>STT</t>
        </is>
      </c>
      <c r="B5" s="2" t="inlineStr">
        <is>
          <t>Họ và tên</t>
        </is>
      </c>
      <c r="C5" s="2" t="inlineStr">
        <is>
          <t>Chức vụ</t>
        </is>
      </c>
      <c r="D5" s="2" t="inlineStr">
        <is>
          <t>Lương cơ bản</t>
        </is>
      </c>
      <c r="E5" s="2" t="inlineStr">
        <is>
          <t>Allowance</t>
        </is>
      </c>
      <c r="F5" s="2" t="inlineStr">
        <is>
          <t>Bonus KPI</t>
        </is>
      </c>
      <c r="G5" s="2" t="inlineStr">
        <is>
          <t>Commission</t>
        </is>
      </c>
      <c r="H5" s="2" t="inlineStr">
        <is>
          <t>OT</t>
        </is>
      </c>
      <c r="I5" s="2" t="inlineStr">
        <is>
          <t>Tổng thu nhập</t>
        </is>
      </c>
      <c r="J5" s="2" t="inlineStr">
        <is>
          <t>BHXH/BHYT/BHTN</t>
        </is>
      </c>
      <c r="K5" s="2" t="inlineStr">
        <is>
          <t>Thuế TNCN</t>
        </is>
      </c>
      <c r="L5" s="2" t="inlineStr">
        <is>
          <t>Khấu trừ khác</t>
        </is>
      </c>
      <c r="M5" s="2" t="inlineStr">
        <is>
          <t>Thực lĩnh</t>
        </is>
      </c>
      <c r="N5" s="2" t="inlineStr">
        <is>
          <t>Ghi chú</t>
        </is>
      </c>
    </row>
    <row r="6">
      <c r="A6" t="n">
        <v>1</v>
      </c>
      <c r="B6" t="inlineStr">
        <is>
          <t>Nguyễn Hữu Phúc</t>
        </is>
      </c>
      <c r="C6" t="inlineStr">
        <is>
          <t>CEO</t>
        </is>
      </c>
      <c r="D6" s="3" t="n">
        <v>90000000</v>
      </c>
      <c r="E6" s="3" t="n">
        <v>15000000</v>
      </c>
      <c r="F6" s="3" t="n">
        <v>22000000</v>
      </c>
      <c r="G6" s="3" t="n">
        <v>5000000</v>
      </c>
      <c r="H6" s="3" t="n">
        <v>3000000</v>
      </c>
      <c r="I6" s="4">
        <f>D6+E6+F6+G6+H6</f>
        <v/>
      </c>
      <c r="J6" s="4">
        <f>MIN(D6,36800000)*10.5%</f>
        <v/>
      </c>
      <c r="K6" s="4">
        <f>MAX(I6-J6-11000000,0)*10%</f>
        <v/>
      </c>
      <c r="L6" s="3" t="n">
        <v>0</v>
      </c>
      <c r="M6" s="4">
        <f>I6-J6-K6-L6</f>
        <v/>
      </c>
      <c r="N6" t="inlineStr">
        <is>
          <t>Founder</t>
        </is>
      </c>
    </row>
    <row r="7">
      <c r="A7" t="n">
        <v>2</v>
      </c>
      <c r="B7" t="inlineStr">
        <is>
          <t>Trần Gia Hân</t>
        </is>
      </c>
      <c r="C7" t="inlineStr">
        <is>
          <t>CFO</t>
        </is>
      </c>
      <c r="D7" s="3" t="n">
        <v>62000000</v>
      </c>
      <c r="E7" s="3" t="n">
        <v>10000000</v>
      </c>
      <c r="F7" s="3" t="n">
        <v>18000000</v>
      </c>
      <c r="G7" s="3" t="n">
        <v>2000000</v>
      </c>
      <c r="H7" s="3" t="n">
        <v>1500000</v>
      </c>
      <c r="I7" s="4">
        <f>D7+E7+F7+G7+H7</f>
        <v/>
      </c>
      <c r="J7" s="4">
        <f>MIN(D7,36800000)*10.5%</f>
        <v/>
      </c>
      <c r="K7" s="4">
        <f>MAX(I7-J7-11000000,0)*10%</f>
        <v/>
      </c>
      <c r="L7" s="3" t="n">
        <v>0</v>
      </c>
      <c r="M7" s="4">
        <f>I7-J7-K7-L7</f>
        <v/>
      </c>
      <c r="N7" t="inlineStr">
        <is>
          <t>Finance</t>
        </is>
      </c>
    </row>
    <row r="8">
      <c r="A8" t="n">
        <v>3</v>
      </c>
      <c r="B8" t="inlineStr">
        <is>
          <t>Lê Minh Tâm</t>
        </is>
      </c>
      <c r="C8" t="inlineStr">
        <is>
          <t>Engineering Manager</t>
        </is>
      </c>
      <c r="D8" s="3" t="n">
        <v>48000000</v>
      </c>
      <c r="E8" s="3" t="n">
        <v>8000000</v>
      </c>
      <c r="F8" s="3" t="n">
        <v>14000000</v>
      </c>
      <c r="G8" s="3" t="n">
        <v>1000000</v>
      </c>
      <c r="H8" s="3" t="n">
        <v>2000000</v>
      </c>
      <c r="I8" s="4">
        <f>D8+E8+F8+G8+H8</f>
        <v/>
      </c>
      <c r="J8" s="4">
        <f>MIN(D8,36800000)*10.5%</f>
        <v/>
      </c>
      <c r="K8" s="4">
        <f>MAX(I8-J8-11000000,0)*10%</f>
        <v/>
      </c>
      <c r="L8" s="3" t="n">
        <v>500000</v>
      </c>
      <c r="M8" s="4">
        <f>I8-J8-K8-L8</f>
        <v/>
      </c>
      <c r="N8" t="inlineStr">
        <is>
          <t>Platform</t>
        </is>
      </c>
    </row>
    <row r="9">
      <c r="A9" t="n">
        <v>4</v>
      </c>
      <c r="B9" t="inlineStr">
        <is>
          <t>Phạm Mỹ Linh</t>
        </is>
      </c>
      <c r="C9" t="inlineStr">
        <is>
          <t>HRBP</t>
        </is>
      </c>
      <c r="D9" s="3" t="n">
        <v>25000000</v>
      </c>
      <c r="E9" s="3" t="n">
        <v>3500000</v>
      </c>
      <c r="F9" s="3" t="n">
        <v>5000000</v>
      </c>
      <c r="G9" s="3" t="n">
        <v>0</v>
      </c>
      <c r="H9" s="3" t="n">
        <v>1000000</v>
      </c>
      <c r="I9" s="4">
        <f>D9+E9+F9+G9+H9</f>
        <v/>
      </c>
      <c r="J9" s="4">
        <f>MIN(D9,36800000)*10.5%</f>
        <v/>
      </c>
      <c r="K9" s="4">
        <f>MAX(I9-J9-11000000,0)*10%</f>
        <v/>
      </c>
      <c r="L9" s="3" t="n">
        <v>500000</v>
      </c>
      <c r="M9" s="4">
        <f>I9-J9-K9-L9</f>
        <v/>
      </c>
      <c r="N9" t="inlineStr">
        <is>
          <t>People Ops</t>
        </is>
      </c>
    </row>
    <row r="10">
      <c r="A10" t="n">
        <v>5</v>
      </c>
      <c r="B10" t="inlineStr">
        <is>
          <t>Đỗ Tuấn Kiệt</t>
        </is>
      </c>
      <c r="C10" t="inlineStr">
        <is>
          <t>Accountant</t>
        </is>
      </c>
      <c r="D10" s="3" t="n">
        <v>22000000</v>
      </c>
      <c r="E10" s="3" t="n">
        <v>2500000</v>
      </c>
      <c r="F10" s="3" t="n">
        <v>4000000</v>
      </c>
      <c r="G10" s="3" t="n">
        <v>0</v>
      </c>
      <c r="H10" s="3" t="n">
        <v>500000</v>
      </c>
      <c r="I10" s="4">
        <f>D10+E10+F10+G10+H10</f>
        <v/>
      </c>
      <c r="J10" s="4">
        <f>MIN(D10,36800000)*10.5%</f>
        <v/>
      </c>
      <c r="K10" s="4">
        <f>MAX(I10-J10-11000000,0)*10%</f>
        <v/>
      </c>
      <c r="L10" s="3" t="n">
        <v>250000</v>
      </c>
      <c r="M10" s="4">
        <f>I10-J10-K10-L10</f>
        <v/>
      </c>
      <c r="N10" t="inlineStr">
        <is>
          <t>Tax filing</t>
        </is>
      </c>
    </row>
    <row r="11">
      <c r="A11" t="inlineStr">
        <is>
          <t>TỔNG CỘNG</t>
        </is>
      </c>
      <c r="D11">
        <f>SUM(D6:D10)</f>
        <v/>
      </c>
      <c r="E11">
        <f>SUM(E6:E10)</f>
        <v/>
      </c>
      <c r="F11">
        <f>SUM(F6:F10)</f>
        <v/>
      </c>
      <c r="G11">
        <f>SUM(G6:G10)</f>
        <v/>
      </c>
      <c r="H11">
        <f>SUM(H6:H10)</f>
        <v/>
      </c>
      <c r="I11">
        <f>SUM(I6:I10)</f>
        <v/>
      </c>
      <c r="J11">
        <f>SUM(J6:J10)</f>
        <v/>
      </c>
      <c r="K11">
        <f>SUM(K6:K10)</f>
        <v/>
      </c>
      <c r="L11">
        <f>SUM(L6:L10)</f>
        <v/>
      </c>
      <c r="M11">
        <f>SUM(M6:M10)</f>
        <v/>
      </c>
    </row>
  </sheetData>
  <mergeCells count="2">
    <mergeCell ref="A11:C11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TỔNG HỢP THUẾ TNCN &amp; BẢO HIỂM</t>
        </is>
      </c>
    </row>
    <row r="3">
      <c r="A3" s="2" t="inlineStr">
        <is>
          <t>STT</t>
        </is>
      </c>
      <c r="B3" s="2" t="inlineStr">
        <is>
          <t>Chỉ tiêu</t>
        </is>
      </c>
      <c r="C3" s="2" t="inlineStr">
        <is>
          <t>Số lượng</t>
        </is>
      </c>
      <c r="D3" s="2" t="inlineStr">
        <is>
          <t>Tổng tiền</t>
        </is>
      </c>
      <c r="E3" s="2" t="inlineStr">
        <is>
          <t>BHXH</t>
        </is>
      </c>
      <c r="F3" s="2" t="inlineStr">
        <is>
          <t>BHYT</t>
        </is>
      </c>
      <c r="G3" s="2" t="inlineStr">
        <is>
          <t>BHTN</t>
        </is>
      </c>
    </row>
    <row r="4">
      <c r="A4" t="n">
        <v>1</v>
      </c>
      <c r="B4" t="inlineStr">
        <is>
          <t>Tổng quỹ lương tháng 07/2026</t>
        </is>
      </c>
      <c r="C4" t="n">
        <v>5</v>
      </c>
      <c r="D4">
        <f>SUM('Bảng lương T07-2026'!I6:I10)</f>
        <v/>
      </c>
      <c r="E4">
        <f>SUM('Bảng lương T07-2026'!J6:J10)*0.7619</f>
        <v/>
      </c>
      <c r="F4">
        <f>SUM('Bảng lương T07-2026'!J6:J10)*0.1429</f>
        <v/>
      </c>
      <c r="G4">
        <f>SUM('Bảng lương T07-2026'!J6:J10)*0.0952</f>
        <v/>
      </c>
    </row>
    <row r="5">
      <c r="A5" t="n">
        <v>2</v>
      </c>
      <c r="B5" t="inlineStr">
        <is>
          <t>Thuế TNCN tạm khấu trừ</t>
        </is>
      </c>
      <c r="C5" t="n">
        <v>5</v>
      </c>
      <c r="D5">
        <f>SUM('Bảng lương T07-2026'!K6:K10)</f>
        <v/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nhân sự &amp; trạng thái HĐLĐ</t>
        </is>
      </c>
    </row>
    <row r="3">
      <c r="A3" s="2" t="inlineStr">
        <is>
          <t>Nhân viên</t>
        </is>
      </c>
      <c r="B3" s="2" t="inlineStr">
        <is>
          <t>Loại hợp đồng</t>
        </is>
      </c>
      <c r="C3" s="2" t="inlineStr">
        <is>
          <t>MST cá nhân</t>
        </is>
      </c>
      <c r="D3" s="2" t="inlineStr">
        <is>
          <t>Ghi chú</t>
        </is>
      </c>
    </row>
    <row r="4">
      <c r="A4" t="inlineStr">
        <is>
          <t>Nguyễn Hữu Phúc</t>
        </is>
      </c>
      <c r="B4" t="inlineStr">
        <is>
          <t>Không thời hạn</t>
        </is>
      </c>
      <c r="C4" t="inlineStr">
        <is>
          <t>0123456789</t>
        </is>
      </c>
      <c r="D4" t="inlineStr">
        <is>
          <t>Có ESOP</t>
        </is>
      </c>
    </row>
    <row r="5">
      <c r="A5" t="inlineStr">
        <is>
          <t>Trần Gia Hân</t>
        </is>
      </c>
      <c r="B5" t="inlineStr">
        <is>
          <t>Không thời hạn</t>
        </is>
      </c>
      <c r="C5" t="inlineStr">
        <is>
          <t>1234567890</t>
        </is>
      </c>
      <c r="D5" t="inlineStr">
        <is>
          <t>Có thưởng hiệu suất</t>
        </is>
      </c>
    </row>
    <row r="6">
      <c r="A6" t="inlineStr">
        <is>
          <t>Lê Minh Tâm</t>
        </is>
      </c>
      <c r="B6" t="inlineStr">
        <is>
          <t>Không thời hạn</t>
        </is>
      </c>
      <c r="C6" t="inlineStr">
        <is>
          <t>2345678901</t>
        </is>
      </c>
      <c r="D6" t="inlineStr">
        <is>
          <t>Quản lý trung tâm kỹ thuật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2026-06-18T09:57:10Z</dcterms:created>
  <dcterms:modified xmlns:dcterms="http://purl.org/dc/terms/" xmlns:xsi="http://www.w3.org/2001/XMLSchema-instance" xsi:type="dcterms:W3CDTF">2026-06-18T09:57:10Z</dcterms:modified>
</cp:coreProperties>
</file>